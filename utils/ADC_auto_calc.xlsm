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ve\Documents\GitHub\BadgerLoopPod\utils\"/>
    </mc:Choice>
  </mc:AlternateContent>
  <bookViews>
    <workbookView xWindow="0" yWindow="0" windowWidth="28800" windowHeight="12435"/>
  </bookViews>
  <sheets>
    <sheet name="ADC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6" i="1"/>
  <c r="E11" i="1"/>
  <c r="H11" i="1" s="1"/>
  <c r="E12" i="1"/>
  <c r="H12" i="1" s="1"/>
  <c r="E19" i="1"/>
  <c r="H19" i="1" s="1"/>
  <c r="E20" i="1"/>
  <c r="H20" i="1" s="1"/>
  <c r="B7" i="1"/>
  <c r="C7" i="1" s="1"/>
  <c r="K7" i="1" s="1"/>
  <c r="B8" i="1"/>
  <c r="C8" i="1" s="1"/>
  <c r="K8" i="1" s="1"/>
  <c r="B9" i="1"/>
  <c r="C9" i="1" s="1"/>
  <c r="K9" i="1" s="1"/>
  <c r="B10" i="1"/>
  <c r="C10" i="1" s="1"/>
  <c r="K10" i="1" s="1"/>
  <c r="B11" i="1"/>
  <c r="C11" i="1" s="1"/>
  <c r="K11" i="1" s="1"/>
  <c r="B12" i="1"/>
  <c r="C12" i="1" s="1"/>
  <c r="K12" i="1" s="1"/>
  <c r="B13" i="1"/>
  <c r="C13" i="1" s="1"/>
  <c r="K13" i="1" s="1"/>
  <c r="B14" i="1"/>
  <c r="C14" i="1" s="1"/>
  <c r="K14" i="1" s="1"/>
  <c r="B15" i="1"/>
  <c r="C15" i="1" s="1"/>
  <c r="K15" i="1" s="1"/>
  <c r="B16" i="1"/>
  <c r="C16" i="1" s="1"/>
  <c r="K16" i="1" s="1"/>
  <c r="B17" i="1"/>
  <c r="C17" i="1" s="1"/>
  <c r="K17" i="1" s="1"/>
  <c r="B18" i="1"/>
  <c r="C18" i="1" s="1"/>
  <c r="K18" i="1" s="1"/>
  <c r="B19" i="1"/>
  <c r="C19" i="1" s="1"/>
  <c r="K19" i="1" s="1"/>
  <c r="B20" i="1"/>
  <c r="C20" i="1" s="1"/>
  <c r="K20" i="1" s="1"/>
  <c r="B21" i="1"/>
  <c r="C21" i="1" s="1"/>
  <c r="K21" i="1" s="1"/>
  <c r="B6" i="1"/>
  <c r="C6" i="1" s="1"/>
  <c r="K6" i="1" s="1"/>
  <c r="B2" i="1"/>
  <c r="E13" i="1" s="1"/>
  <c r="H13" i="1" s="1"/>
  <c r="I20" i="1" l="1"/>
  <c r="I19" i="1"/>
  <c r="I13" i="1"/>
  <c r="I12" i="1"/>
  <c r="I11" i="1"/>
  <c r="E18" i="1"/>
  <c r="E10" i="1"/>
  <c r="E9" i="1"/>
  <c r="E17" i="1"/>
  <c r="E16" i="1"/>
  <c r="E8" i="1"/>
  <c r="E15" i="1"/>
  <c r="E7" i="1"/>
  <c r="E14" i="1"/>
  <c r="F14" i="1" s="1"/>
  <c r="E6" i="1"/>
  <c r="F6" i="1" s="1"/>
  <c r="E21" i="1"/>
  <c r="F20" i="1"/>
  <c r="F19" i="1"/>
  <c r="F17" i="1"/>
  <c r="F13" i="1"/>
  <c r="F12" i="1"/>
  <c r="F11" i="1"/>
  <c r="H21" i="1" l="1"/>
  <c r="I21" i="1" s="1"/>
  <c r="F21" i="1"/>
  <c r="H18" i="1"/>
  <c r="I18" i="1" s="1"/>
  <c r="F18" i="1"/>
  <c r="H17" i="1"/>
  <c r="I17" i="1" s="1"/>
  <c r="H16" i="1"/>
  <c r="I16" i="1" s="1"/>
  <c r="H15" i="1"/>
  <c r="I15" i="1" s="1"/>
  <c r="H14" i="1"/>
  <c r="I14" i="1" s="1"/>
  <c r="H10" i="1"/>
  <c r="I10" i="1" s="1"/>
  <c r="F10" i="1"/>
  <c r="H9" i="1"/>
  <c r="I9" i="1" s="1"/>
  <c r="F9" i="1"/>
  <c r="H8" i="1"/>
  <c r="I8" i="1" s="1"/>
  <c r="H7" i="1"/>
  <c r="I7" i="1" s="1"/>
  <c r="H6" i="1"/>
  <c r="I6" i="1" s="1"/>
  <c r="F7" i="1"/>
  <c r="F15" i="1"/>
  <c r="F8" i="1"/>
  <c r="F16" i="1"/>
</calcChain>
</file>

<file path=xl/sharedStrings.xml><?xml version="1.0" encoding="utf-8"?>
<sst xmlns="http://schemas.openxmlformats.org/spreadsheetml/2006/main" count="13" uniqueCount="13">
  <si>
    <t>Input</t>
  </si>
  <si>
    <t>Tpb</t>
  </si>
  <si>
    <t>Time/Input</t>
  </si>
  <si>
    <t>Frequency</t>
  </si>
  <si>
    <t>SAMC</t>
  </si>
  <si>
    <t>ADCS</t>
  </si>
  <si>
    <t>Tad</t>
  </si>
  <si>
    <t>Final</t>
  </si>
  <si>
    <t>1/Tad</t>
  </si>
  <si>
    <t>1/Final</t>
  </si>
  <si>
    <t>1/Time/Input</t>
  </si>
  <si>
    <t xml:space="preserve">Not cleaned up or anything… just works. Uses a Macro called CustomGoalSeek() to find rough values. </t>
  </si>
  <si>
    <t>PBCLK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</si>
</sst>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5" formatCode="0.00000000000"/>
    <numFmt numFmtId="176" formatCode="0.00000000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"/>
  <sheetViews>
    <sheetView tabSelected="1" workbookViewId="0">
      <selection activeCell="M6" sqref="M6:M21"/>
    </sheetView>
  </sheetViews>
  <sheetFormatPr defaultRowHeight="15" x14ac:dyDescent="0.25"/>
  <cols>
    <col min="2" max="3" width="15" customWidth="1"/>
    <col min="4" max="4" width="13.5703125" customWidth="1"/>
    <col min="5" max="6" width="17.7109375" customWidth="1"/>
    <col min="8" max="8" width="16.7109375" customWidth="1"/>
  </cols>
  <sheetData>
    <row r="1" spans="1:13" x14ac:dyDescent="0.25">
      <c r="A1" t="s">
        <v>12</v>
      </c>
      <c r="B1">
        <v>64000000</v>
      </c>
      <c r="C1" s="4" t="s">
        <v>11</v>
      </c>
      <c r="D1" s="4"/>
      <c r="E1" s="4"/>
      <c r="F1" s="4"/>
      <c r="G1" s="4"/>
      <c r="H1" s="4"/>
      <c r="I1" s="4"/>
    </row>
    <row r="2" spans="1:13" x14ac:dyDescent="0.25">
      <c r="A2" t="s">
        <v>1</v>
      </c>
      <c r="B2" s="3">
        <f>1/B1</f>
        <v>1.5624999999999999E-8</v>
      </c>
      <c r="C2" s="4"/>
      <c r="D2" s="4"/>
      <c r="E2" s="4"/>
      <c r="F2" s="4"/>
      <c r="G2" s="4"/>
      <c r="H2" s="4"/>
      <c r="I2" s="4"/>
    </row>
    <row r="3" spans="1:13" x14ac:dyDescent="0.25">
      <c r="A3" t="s">
        <v>3</v>
      </c>
      <c r="B3">
        <v>1000</v>
      </c>
    </row>
    <row r="5" spans="1:13" x14ac:dyDescent="0.25">
      <c r="A5" t="s">
        <v>0</v>
      </c>
      <c r="B5" t="s">
        <v>2</v>
      </c>
      <c r="C5" t="s">
        <v>10</v>
      </c>
      <c r="D5" t="s">
        <v>5</v>
      </c>
      <c r="E5" t="s">
        <v>6</v>
      </c>
      <c r="F5" t="s">
        <v>8</v>
      </c>
      <c r="G5" t="s">
        <v>4</v>
      </c>
      <c r="H5" t="s">
        <v>7</v>
      </c>
      <c r="I5" t="s">
        <v>9</v>
      </c>
    </row>
    <row r="6" spans="1:13" x14ac:dyDescent="0.25">
      <c r="A6">
        <v>1</v>
      </c>
      <c r="B6">
        <f>1/$B$3/A6</f>
        <v>1E-3</v>
      </c>
      <c r="C6">
        <f>1/B6</f>
        <v>1000</v>
      </c>
      <c r="D6">
        <v>255</v>
      </c>
      <c r="E6" s="3">
        <f>D6*$B$2*2</f>
        <v>7.9687499999999989E-6</v>
      </c>
      <c r="F6" s="1">
        <f>1/E6</f>
        <v>125490.19607843139</v>
      </c>
      <c r="G6">
        <v>31</v>
      </c>
      <c r="H6" s="2">
        <f>E6*(G6+12)</f>
        <v>3.4265624999999997E-4</v>
      </c>
      <c r="I6">
        <f>1/H6</f>
        <v>2918.3766529867762</v>
      </c>
      <c r="J6">
        <v>999.87501562304715</v>
      </c>
      <c r="K6">
        <f>J6-C6</f>
        <v>-0.12498437695285247</v>
      </c>
      <c r="M6" t="str">
        <f>"#define ADC_SET_"&amp;A6&amp;"_INPUT_TIMING AD1CON3bits.ADCS = "&amp;D6&amp;"; AD1CON3bits.SAMC = "&amp;G6&amp;";"</f>
        <v>#define ADC_SET_1_INPUT_TIMING AD1CON3bits.ADCS = 255; AD1CON3bits.SAMC = 31;</v>
      </c>
    </row>
    <row r="7" spans="1:13" x14ac:dyDescent="0.25">
      <c r="A7">
        <v>2</v>
      </c>
      <c r="B7">
        <f t="shared" ref="B7:B21" si="0">1/$B$3/A7</f>
        <v>5.0000000000000001E-4</v>
      </c>
      <c r="C7">
        <f t="shared" ref="C7:C21" si="1">1/B7</f>
        <v>2000</v>
      </c>
      <c r="D7">
        <v>255</v>
      </c>
      <c r="E7" s="3">
        <f t="shared" ref="E7:E21" si="2">D7*$B$2*2</f>
        <v>7.9687499999999989E-6</v>
      </c>
      <c r="F7" s="1">
        <f t="shared" ref="F7:F21" si="3">1/E7</f>
        <v>125490.19607843139</v>
      </c>
      <c r="G7">
        <v>31</v>
      </c>
      <c r="H7" s="2">
        <f t="shared" ref="H7:H21" si="4">E7*(G7+12)</f>
        <v>3.4265624999999997E-4</v>
      </c>
      <c r="I7">
        <f t="shared" ref="I7:I21" si="5">1/H7</f>
        <v>2918.3766529867762</v>
      </c>
      <c r="J7">
        <v>1999.7500312460943</v>
      </c>
      <c r="K7">
        <f t="shared" ref="K7:K21" si="6">J7-C7</f>
        <v>-0.24996875390570494</v>
      </c>
      <c r="M7" t="str">
        <f t="shared" ref="M7:M21" si="7">"#define ADC_SET_"&amp;A7&amp;"_INPUT_TIMING AD1CON3bits.ADCS = "&amp;D7&amp;"; AD1CON3bits.SAMC = "&amp;G7&amp;";"</f>
        <v>#define ADC_SET_2_INPUT_TIMING AD1CON3bits.ADCS = 255; AD1CON3bits.SAMC = 31;</v>
      </c>
    </row>
    <row r="8" spans="1:13" x14ac:dyDescent="0.25">
      <c r="A8">
        <v>3</v>
      </c>
      <c r="B8">
        <f t="shared" si="0"/>
        <v>3.3333333333333332E-4</v>
      </c>
      <c r="C8">
        <f t="shared" si="1"/>
        <v>3000</v>
      </c>
      <c r="D8">
        <v>255</v>
      </c>
      <c r="E8" s="3">
        <f t="shared" si="2"/>
        <v>7.9687499999999989E-6</v>
      </c>
      <c r="F8" s="1">
        <f t="shared" si="3"/>
        <v>125490.19607843139</v>
      </c>
      <c r="G8">
        <v>30</v>
      </c>
      <c r="H8" s="2">
        <f t="shared" si="4"/>
        <v>3.3468749999999997E-4</v>
      </c>
      <c r="I8">
        <f t="shared" si="5"/>
        <v>2987.8618113912235</v>
      </c>
      <c r="J8">
        <v>2999.6250468691414</v>
      </c>
      <c r="K8">
        <f t="shared" si="6"/>
        <v>-0.37495313085855742</v>
      </c>
      <c r="M8" t="str">
        <f t="shared" si="7"/>
        <v>#define ADC_SET_3_INPUT_TIMING AD1CON3bits.ADCS = 255; AD1CON3bits.SAMC = 30;</v>
      </c>
    </row>
    <row r="9" spans="1:13" x14ac:dyDescent="0.25">
      <c r="A9">
        <v>4</v>
      </c>
      <c r="B9">
        <f t="shared" si="0"/>
        <v>2.5000000000000001E-4</v>
      </c>
      <c r="C9">
        <f t="shared" si="1"/>
        <v>4000</v>
      </c>
      <c r="D9">
        <v>255</v>
      </c>
      <c r="E9" s="3">
        <f t="shared" si="2"/>
        <v>7.9687499999999989E-6</v>
      </c>
      <c r="F9" s="1">
        <f t="shared" si="3"/>
        <v>125490.19607843139</v>
      </c>
      <c r="G9">
        <v>19</v>
      </c>
      <c r="H9" s="2">
        <f t="shared" si="4"/>
        <v>2.4703124999999996E-4</v>
      </c>
      <c r="I9">
        <f t="shared" si="5"/>
        <v>4048.0708412397221</v>
      </c>
      <c r="J9">
        <v>4048.0708412397221</v>
      </c>
      <c r="K9">
        <f t="shared" si="6"/>
        <v>48.070841239722085</v>
      </c>
      <c r="M9" t="str">
        <f t="shared" si="7"/>
        <v>#define ADC_SET_4_INPUT_TIMING AD1CON3bits.ADCS = 255; AD1CON3bits.SAMC = 19;</v>
      </c>
    </row>
    <row r="10" spans="1:13" x14ac:dyDescent="0.25">
      <c r="A10">
        <v>5</v>
      </c>
      <c r="B10">
        <f t="shared" si="0"/>
        <v>2.0000000000000001E-4</v>
      </c>
      <c r="C10">
        <f t="shared" si="1"/>
        <v>5000</v>
      </c>
      <c r="D10">
        <v>255</v>
      </c>
      <c r="E10" s="3">
        <f t="shared" si="2"/>
        <v>7.9687499999999989E-6</v>
      </c>
      <c r="F10" s="1">
        <f t="shared" si="3"/>
        <v>125490.19607843139</v>
      </c>
      <c r="G10">
        <v>13</v>
      </c>
      <c r="H10" s="2">
        <f t="shared" si="4"/>
        <v>1.9921874999999996E-4</v>
      </c>
      <c r="I10">
        <f t="shared" si="5"/>
        <v>5019.6078431372562</v>
      </c>
      <c r="J10">
        <v>5019.6078431372562</v>
      </c>
      <c r="K10">
        <f t="shared" si="6"/>
        <v>19.607843137256168</v>
      </c>
      <c r="M10" t="str">
        <f t="shared" si="7"/>
        <v>#define ADC_SET_5_INPUT_TIMING AD1CON3bits.ADCS = 255; AD1CON3bits.SAMC = 13;</v>
      </c>
    </row>
    <row r="11" spans="1:13" x14ac:dyDescent="0.25">
      <c r="A11">
        <v>6</v>
      </c>
      <c r="B11">
        <f t="shared" si="0"/>
        <v>1.6666666666666666E-4</v>
      </c>
      <c r="C11">
        <f t="shared" si="1"/>
        <v>6000</v>
      </c>
      <c r="D11">
        <v>255</v>
      </c>
      <c r="E11" s="3">
        <f t="shared" si="2"/>
        <v>7.9687499999999989E-6</v>
      </c>
      <c r="F11" s="1">
        <f t="shared" si="3"/>
        <v>125490.19607843139</v>
      </c>
      <c r="G11">
        <v>9</v>
      </c>
      <c r="H11" s="2">
        <f t="shared" si="4"/>
        <v>1.6734374999999998E-4</v>
      </c>
      <c r="I11">
        <f t="shared" si="5"/>
        <v>5975.7236227824469</v>
      </c>
      <c r="J11">
        <v>5999.2500937382829</v>
      </c>
      <c r="K11">
        <f t="shared" si="6"/>
        <v>-0.74990626171711483</v>
      </c>
      <c r="M11" t="str">
        <f t="shared" si="7"/>
        <v>#define ADC_SET_6_INPUT_TIMING AD1CON3bits.ADCS = 255; AD1CON3bits.SAMC = 9;</v>
      </c>
    </row>
    <row r="12" spans="1:13" x14ac:dyDescent="0.25">
      <c r="A12">
        <v>7</v>
      </c>
      <c r="B12">
        <f t="shared" si="0"/>
        <v>1.4285714285714287E-4</v>
      </c>
      <c r="C12">
        <f t="shared" si="1"/>
        <v>6999.9999999999991</v>
      </c>
      <c r="D12">
        <v>255</v>
      </c>
      <c r="E12" s="3">
        <f t="shared" si="2"/>
        <v>7.9687499999999989E-6</v>
      </c>
      <c r="F12" s="1">
        <f t="shared" si="3"/>
        <v>125490.19607843139</v>
      </c>
      <c r="G12">
        <v>6</v>
      </c>
      <c r="H12" s="2">
        <f t="shared" si="4"/>
        <v>1.4343749999999998E-4</v>
      </c>
      <c r="I12">
        <f t="shared" si="5"/>
        <v>6971.677559912855</v>
      </c>
      <c r="J12">
        <v>6999.12510936133</v>
      </c>
      <c r="K12">
        <f t="shared" si="6"/>
        <v>-0.87489063866905781</v>
      </c>
      <c r="M12" t="str">
        <f t="shared" si="7"/>
        <v>#define ADC_SET_7_INPUT_TIMING AD1CON3bits.ADCS = 255; AD1CON3bits.SAMC = 6;</v>
      </c>
    </row>
    <row r="13" spans="1:13" x14ac:dyDescent="0.25">
      <c r="A13">
        <v>8</v>
      </c>
      <c r="B13">
        <f t="shared" si="0"/>
        <v>1.25E-4</v>
      </c>
      <c r="C13">
        <f t="shared" si="1"/>
        <v>8000</v>
      </c>
      <c r="D13">
        <v>250</v>
      </c>
      <c r="E13" s="3">
        <f t="shared" si="2"/>
        <v>7.8125000000000002E-6</v>
      </c>
      <c r="F13" s="1">
        <f t="shared" si="3"/>
        <v>128000</v>
      </c>
      <c r="G13">
        <v>4</v>
      </c>
      <c r="H13" s="2">
        <f t="shared" si="4"/>
        <v>1.25E-4</v>
      </c>
      <c r="I13">
        <f t="shared" si="5"/>
        <v>8000</v>
      </c>
      <c r="J13">
        <v>8000</v>
      </c>
      <c r="K13">
        <f t="shared" si="6"/>
        <v>0</v>
      </c>
      <c r="M13" t="str">
        <f t="shared" si="7"/>
        <v>#define ADC_SET_8_INPUT_TIMING AD1CON3bits.ADCS = 250; AD1CON3bits.SAMC = 4;</v>
      </c>
    </row>
    <row r="14" spans="1:13" x14ac:dyDescent="0.25">
      <c r="A14">
        <v>9</v>
      </c>
      <c r="B14">
        <f t="shared" si="0"/>
        <v>1.1111111111111112E-4</v>
      </c>
      <c r="C14">
        <f t="shared" si="1"/>
        <v>9000</v>
      </c>
      <c r="D14">
        <v>237</v>
      </c>
      <c r="E14" s="3">
        <f t="shared" si="2"/>
        <v>7.4062499999999996E-6</v>
      </c>
      <c r="F14" s="1">
        <f t="shared" si="3"/>
        <v>135021.09704641352</v>
      </c>
      <c r="G14">
        <v>3</v>
      </c>
      <c r="H14" s="2">
        <f t="shared" si="4"/>
        <v>1.1109375E-4</v>
      </c>
      <c r="I14">
        <f t="shared" si="5"/>
        <v>9001.406469760901</v>
      </c>
      <c r="J14">
        <v>9001.406469760901</v>
      </c>
      <c r="K14">
        <f t="shared" si="6"/>
        <v>1.4064697609010182</v>
      </c>
      <c r="M14" t="str">
        <f t="shared" si="7"/>
        <v>#define ADC_SET_9_INPUT_TIMING AD1CON3bits.ADCS = 237; AD1CON3bits.SAMC = 3;</v>
      </c>
    </row>
    <row r="15" spans="1:13" x14ac:dyDescent="0.25">
      <c r="A15">
        <v>10</v>
      </c>
      <c r="B15">
        <f t="shared" si="0"/>
        <v>1E-4</v>
      </c>
      <c r="C15">
        <f t="shared" si="1"/>
        <v>10000</v>
      </c>
      <c r="D15">
        <v>213</v>
      </c>
      <c r="E15" s="3">
        <f t="shared" si="2"/>
        <v>6.65625E-6</v>
      </c>
      <c r="F15" s="1">
        <f t="shared" si="3"/>
        <v>150234.74178403756</v>
      </c>
      <c r="G15">
        <v>3</v>
      </c>
      <c r="H15" s="2">
        <f t="shared" si="4"/>
        <v>9.9843749999999998E-5</v>
      </c>
      <c r="I15">
        <f t="shared" si="5"/>
        <v>10015.64945226917</v>
      </c>
      <c r="J15">
        <v>10015.64945226917</v>
      </c>
      <c r="K15">
        <f t="shared" si="6"/>
        <v>15.649452269170069</v>
      </c>
      <c r="M15" t="str">
        <f t="shared" si="7"/>
        <v>#define ADC_SET_10_INPUT_TIMING AD1CON3bits.ADCS = 213; AD1CON3bits.SAMC = 3;</v>
      </c>
    </row>
    <row r="16" spans="1:13" x14ac:dyDescent="0.25">
      <c r="A16">
        <v>11</v>
      </c>
      <c r="B16">
        <f t="shared" si="0"/>
        <v>9.0909090909090917E-5</v>
      </c>
      <c r="C16">
        <f t="shared" si="1"/>
        <v>10999.999999999998</v>
      </c>
      <c r="D16">
        <v>208</v>
      </c>
      <c r="E16" s="3">
        <f t="shared" si="2"/>
        <v>6.4999999999999996E-6</v>
      </c>
      <c r="F16" s="1">
        <f t="shared" si="3"/>
        <v>153846.15384615384</v>
      </c>
      <c r="G16">
        <v>2</v>
      </c>
      <c r="H16" s="2">
        <f t="shared" si="4"/>
        <v>9.0999999999999989E-5</v>
      </c>
      <c r="I16">
        <f t="shared" si="5"/>
        <v>10989.010989010991</v>
      </c>
      <c r="J16">
        <v>10996.563573883162</v>
      </c>
      <c r="K16">
        <f t="shared" si="6"/>
        <v>-3.4364261168357189</v>
      </c>
      <c r="M16" t="str">
        <f t="shared" si="7"/>
        <v>#define ADC_SET_11_INPUT_TIMING AD1CON3bits.ADCS = 208; AD1CON3bits.SAMC = 2;</v>
      </c>
    </row>
    <row r="17" spans="1:13" x14ac:dyDescent="0.25">
      <c r="A17">
        <v>12</v>
      </c>
      <c r="B17">
        <f t="shared" si="0"/>
        <v>8.3333333333333331E-5</v>
      </c>
      <c r="C17">
        <f t="shared" si="1"/>
        <v>12000</v>
      </c>
      <c r="D17">
        <v>190</v>
      </c>
      <c r="E17" s="3">
        <f t="shared" si="2"/>
        <v>5.9374999999999995E-6</v>
      </c>
      <c r="F17" s="1">
        <f t="shared" si="3"/>
        <v>168421.05263157896</v>
      </c>
      <c r="G17">
        <v>2</v>
      </c>
      <c r="H17" s="2">
        <f t="shared" si="4"/>
        <v>8.3124999999999988E-5</v>
      </c>
      <c r="I17">
        <f t="shared" si="5"/>
        <v>12030.075187969927</v>
      </c>
      <c r="J17">
        <v>11985.018726591761</v>
      </c>
      <c r="K17">
        <f t="shared" si="6"/>
        <v>-14.981273408238849</v>
      </c>
      <c r="M17" t="str">
        <f t="shared" si="7"/>
        <v>#define ADC_SET_12_INPUT_TIMING AD1CON3bits.ADCS = 190; AD1CON3bits.SAMC = 2;</v>
      </c>
    </row>
    <row r="18" spans="1:13" x14ac:dyDescent="0.25">
      <c r="A18">
        <v>13</v>
      </c>
      <c r="B18">
        <f t="shared" si="0"/>
        <v>7.6923076923076926E-5</v>
      </c>
      <c r="C18">
        <f t="shared" si="1"/>
        <v>13000</v>
      </c>
      <c r="D18">
        <v>164</v>
      </c>
      <c r="E18" s="3">
        <f t="shared" si="2"/>
        <v>5.1250000000000001E-6</v>
      </c>
      <c r="F18" s="1">
        <f t="shared" si="3"/>
        <v>195121.95121951218</v>
      </c>
      <c r="G18">
        <v>3</v>
      </c>
      <c r="H18" s="2">
        <f t="shared" si="4"/>
        <v>7.6874999999999998E-5</v>
      </c>
      <c r="I18">
        <f t="shared" si="5"/>
        <v>13008.130081300813</v>
      </c>
      <c r="J18">
        <v>13008.130081300813</v>
      </c>
      <c r="K18">
        <f t="shared" si="6"/>
        <v>8.1300813008128898</v>
      </c>
      <c r="M18" t="str">
        <f t="shared" si="7"/>
        <v>#define ADC_SET_13_INPUT_TIMING AD1CON3bits.ADCS = 164; AD1CON3bits.SAMC = 3;</v>
      </c>
    </row>
    <row r="19" spans="1:13" x14ac:dyDescent="0.25">
      <c r="A19">
        <v>14</v>
      </c>
      <c r="B19">
        <f t="shared" si="0"/>
        <v>7.1428571428571434E-5</v>
      </c>
      <c r="C19">
        <f t="shared" si="1"/>
        <v>13999.999999999998</v>
      </c>
      <c r="D19">
        <v>152</v>
      </c>
      <c r="E19" s="3">
        <f t="shared" si="2"/>
        <v>4.7499999999999994E-6</v>
      </c>
      <c r="F19" s="1">
        <f t="shared" si="3"/>
        <v>210526.31578947371</v>
      </c>
      <c r="G19">
        <v>3</v>
      </c>
      <c r="H19" s="2">
        <f t="shared" si="4"/>
        <v>7.1249999999999997E-5</v>
      </c>
      <c r="I19">
        <f t="shared" si="5"/>
        <v>14035.087719298246</v>
      </c>
      <c r="J19">
        <v>14035.087719298246</v>
      </c>
      <c r="K19">
        <f t="shared" si="6"/>
        <v>35.087719298247976</v>
      </c>
      <c r="M19" t="str">
        <f t="shared" si="7"/>
        <v>#define ADC_SET_14_INPUT_TIMING AD1CON3bits.ADCS = 152; AD1CON3bits.SAMC = 3;</v>
      </c>
    </row>
    <row r="20" spans="1:13" x14ac:dyDescent="0.25">
      <c r="A20">
        <v>15</v>
      </c>
      <c r="B20">
        <f t="shared" si="0"/>
        <v>6.666666666666667E-5</v>
      </c>
      <c r="C20">
        <f t="shared" si="1"/>
        <v>15000</v>
      </c>
      <c r="D20">
        <v>142</v>
      </c>
      <c r="E20" s="3">
        <f t="shared" si="2"/>
        <v>4.4374999999999994E-6</v>
      </c>
      <c r="F20" s="1">
        <f t="shared" si="3"/>
        <v>225352.11267605636</v>
      </c>
      <c r="G20">
        <v>3</v>
      </c>
      <c r="H20" s="2">
        <f t="shared" si="4"/>
        <v>6.6562499999999998E-5</v>
      </c>
      <c r="I20">
        <f t="shared" si="5"/>
        <v>15023.474178403756</v>
      </c>
      <c r="J20">
        <v>15023.474178403756</v>
      </c>
      <c r="K20">
        <f t="shared" si="6"/>
        <v>23.474178403756014</v>
      </c>
      <c r="M20" t="str">
        <f t="shared" si="7"/>
        <v>#define ADC_SET_15_INPUT_TIMING AD1CON3bits.ADCS = 142; AD1CON3bits.SAMC = 3;</v>
      </c>
    </row>
    <row r="21" spans="1:13" x14ac:dyDescent="0.25">
      <c r="A21">
        <v>16</v>
      </c>
      <c r="B21">
        <f t="shared" si="0"/>
        <v>6.2500000000000001E-5</v>
      </c>
      <c r="C21">
        <f t="shared" si="1"/>
        <v>16000</v>
      </c>
      <c r="D21">
        <v>133</v>
      </c>
      <c r="E21" s="3">
        <f t="shared" si="2"/>
        <v>4.1562500000000002E-6</v>
      </c>
      <c r="F21" s="1">
        <f t="shared" si="3"/>
        <v>240601.50375939847</v>
      </c>
      <c r="G21">
        <v>3</v>
      </c>
      <c r="H21" s="2">
        <f t="shared" si="4"/>
        <v>6.2343750000000008E-5</v>
      </c>
      <c r="I21">
        <f t="shared" si="5"/>
        <v>16040.100250626565</v>
      </c>
      <c r="J21">
        <v>16040.100250626565</v>
      </c>
      <c r="K21">
        <f t="shared" si="6"/>
        <v>40.100250626564957</v>
      </c>
      <c r="M21" t="str">
        <f t="shared" si="7"/>
        <v>#define ADC_SET_16_INPUT_TIMING AD1CON3bits.ADCS = 133; AD1CON3bits.SAMC = 3;</v>
      </c>
    </row>
  </sheetData>
  <mergeCells count="1">
    <mergeCell ref="C1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Hawkins</dc:creator>
  <cp:lastModifiedBy>Steve Hawkins</cp:lastModifiedBy>
  <dcterms:created xsi:type="dcterms:W3CDTF">2016-02-29T20:45:15Z</dcterms:created>
  <dcterms:modified xsi:type="dcterms:W3CDTF">2016-03-01T00:01:46Z</dcterms:modified>
</cp:coreProperties>
</file>